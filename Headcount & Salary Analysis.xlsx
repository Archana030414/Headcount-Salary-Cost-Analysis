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917484827f3ec41/Desktop/"/>
    </mc:Choice>
  </mc:AlternateContent>
  <xr:revisionPtr revIDLastSave="0" documentId="8_{5FEC0B2C-9E29-4EF2-A5F0-B84BD805CB81}" xr6:coauthVersionLast="45" xr6:coauthVersionMax="45" xr10:uidLastSave="{00000000-0000-0000-0000-000000000000}"/>
  <bookViews>
    <workbookView xWindow="-108" yWindow="-108" windowWidth="23256" windowHeight="12576" firstSheet="1" activeTab="4" xr2:uid="{28B97ED2-A16D-4A44-83A4-BD88B60A788B}"/>
  </bookViews>
  <sheets>
    <sheet name="Salary Data" sheetId="1" r:id="rId1"/>
    <sheet name="Headcount by Department" sheetId="2" r:id="rId2"/>
    <sheet name="Salary Cost by Department" sheetId="3" r:id="rId3"/>
    <sheet name="Total Headcount by Trend" sheetId="4" r:id="rId4"/>
    <sheet name="Dashboard" sheetId="5" r:id="rId5"/>
  </sheets>
  <calcPr calcId="191029"/>
  <pivotCaches>
    <pivotCache cacheId="14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" i="1" l="1"/>
  <c r="H4" i="1"/>
  <c r="H3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2" i="1"/>
</calcChain>
</file>

<file path=xl/sharedStrings.xml><?xml version="1.0" encoding="utf-8"?>
<sst xmlns="http://schemas.openxmlformats.org/spreadsheetml/2006/main" count="75" uniqueCount="28">
  <si>
    <t>Month</t>
  </si>
  <si>
    <t>Department</t>
  </si>
  <si>
    <t>Headcount</t>
  </si>
  <si>
    <t>Jan</t>
  </si>
  <si>
    <t>HR</t>
  </si>
  <si>
    <t>IT</t>
  </si>
  <si>
    <t>Finance</t>
  </si>
  <si>
    <t>Admin</t>
  </si>
  <si>
    <t>Feb</t>
  </si>
  <si>
    <t>Mar</t>
  </si>
  <si>
    <t>Apr</t>
  </si>
  <si>
    <t>Average Salary</t>
  </si>
  <si>
    <t>Montly Salary</t>
  </si>
  <si>
    <t>Grand Total</t>
  </si>
  <si>
    <t>Sum of Headcount</t>
  </si>
  <si>
    <t>Sum of Montly Salary</t>
  </si>
  <si>
    <t>KPI</t>
  </si>
  <si>
    <t>Total Headcount</t>
  </si>
  <si>
    <t>Total Monthly Salary Cost</t>
  </si>
  <si>
    <t>Average Monthly Cost per Employee</t>
  </si>
  <si>
    <r>
      <rPr>
        <b/>
        <sz val="12"/>
        <color theme="1"/>
        <rFont val="Calibri"/>
        <family val="2"/>
        <scheme val="minor"/>
      </rPr>
      <t>Total Headcount</t>
    </r>
    <r>
      <rPr>
        <sz val="11"/>
        <color theme="1"/>
        <rFont val="Calibri"/>
        <family val="2"/>
        <scheme val="minor"/>
      </rPr>
      <t xml:space="preserve">
</t>
    </r>
    <r>
      <rPr>
        <sz val="18"/>
        <color theme="1"/>
        <rFont val="Calibri"/>
        <family val="2"/>
        <scheme val="minor"/>
      </rPr>
      <t>358</t>
    </r>
  </si>
  <si>
    <r>
      <rPr>
        <b/>
        <sz val="12"/>
        <color theme="1"/>
        <rFont val="Calibri"/>
        <family val="2"/>
        <scheme val="minor"/>
      </rPr>
      <t>Total Monthly Salary Cost</t>
    </r>
    <r>
      <rPr>
        <sz val="11"/>
        <color theme="1"/>
        <rFont val="Calibri"/>
        <family val="2"/>
        <scheme val="minor"/>
      </rPr>
      <t xml:space="preserve">
</t>
    </r>
    <r>
      <rPr>
        <sz val="18"/>
        <color theme="1"/>
        <rFont val="Calibri"/>
        <family val="2"/>
        <scheme val="minor"/>
      </rPr>
      <t>₹ 2,34,63,000</t>
    </r>
  </si>
  <si>
    <r>
      <rPr>
        <b/>
        <sz val="12"/>
        <color theme="1"/>
        <rFont val="Calibri"/>
        <family val="2"/>
        <scheme val="minor"/>
      </rPr>
      <t>Average Monthly Cost Per Employee</t>
    </r>
    <r>
      <rPr>
        <sz val="11"/>
        <color theme="1"/>
        <rFont val="Calibri"/>
        <family val="2"/>
        <scheme val="minor"/>
      </rPr>
      <t xml:space="preserve">
</t>
    </r>
    <r>
      <rPr>
        <sz val="18"/>
        <color theme="1"/>
        <rFont val="Calibri"/>
        <family val="2"/>
        <scheme val="minor"/>
      </rPr>
      <t>₹ 65,539.11</t>
    </r>
  </si>
  <si>
    <t>Key Insights</t>
  </si>
  <si>
    <t>1. Total monthly salary is ₹ 2.35 Crores, making salaries a major recurring expense.</t>
  </si>
  <si>
    <t>2. Headcount growth is primarily driven by IT department.</t>
  </si>
  <si>
    <t>3. Any increase in headcount directly increase the salary costs.</t>
  </si>
  <si>
    <t>Amounts in ₹ (INR)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</si>
</sst>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9" formatCode="_ &quot;₹&quot;\ * #,##0_ ;_ &quot;₹&quot;\ * \-#,##0_ ;_ &quot;₹&quot;\ * &quot;-&quot;??_ ;_ @_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7">
    <xf numFmtId="0" fontId="0" fillId="0" borderId="0" xfId="0"/>
    <xf numFmtId="169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1" xfId="0" applyFont="1" applyBorder="1" applyAlignment="1">
      <alignment horizontal="center" vertical="center"/>
    </xf>
    <xf numFmtId="169" fontId="2" fillId="0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169" fontId="0" fillId="0" borderId="1" xfId="1" applyNumberFormat="1" applyFont="1" applyBorder="1" applyAlignment="1">
      <alignment vertical="center"/>
    </xf>
    <xf numFmtId="169" fontId="0" fillId="0" borderId="1" xfId="1" applyNumberFormat="1" applyFont="1" applyBorder="1"/>
    <xf numFmtId="0" fontId="2" fillId="0" borderId="1" xfId="0" applyFont="1" applyBorder="1"/>
    <xf numFmtId="169" fontId="2" fillId="0" borderId="1" xfId="0" applyNumberFormat="1" applyFont="1" applyBorder="1"/>
    <xf numFmtId="44" fontId="2" fillId="0" borderId="1" xfId="0" applyNumberFormat="1" applyFont="1" applyBorder="1"/>
    <xf numFmtId="0" fontId="0" fillId="2" borderId="0" xfId="0" applyFill="1" applyAlignment="1">
      <alignment horizontal="center" vertical="top" wrapText="1"/>
    </xf>
    <xf numFmtId="0" fontId="0" fillId="2" borderId="0" xfId="0" applyFill="1" applyAlignment="1">
      <alignment horizontal="center" vertical="top"/>
    </xf>
    <xf numFmtId="0" fontId="5" fillId="0" borderId="0" xfId="0" applyFont="1"/>
    <xf numFmtId="0" fontId="6" fillId="0" borderId="0" xfId="0" applyFont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[Headcount ^L0 Salary Analysis.xlsx]Headcount by Department!PivotTable4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Headcount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'Headcount by Department'!$C$6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7BF5-4A6C-A016-E52B86ACD75B}"/>
              </c:ext>
            </c:extLst>
          </c:dPt>
          <c:cat>
            <c:strRef>
              <c:f>'Headcount by Department'!$B$7:$B$11</c:f>
              <c:strCache>
                <c:ptCount val="4"/>
                <c:pt idx="0">
                  <c:v>Admin</c:v>
                </c:pt>
                <c:pt idx="1">
                  <c:v>Finance</c:v>
                </c:pt>
                <c:pt idx="2">
                  <c:v>HR</c:v>
                </c:pt>
                <c:pt idx="3">
                  <c:v>IT</c:v>
                </c:pt>
              </c:strCache>
            </c:strRef>
          </c:cat>
          <c:val>
            <c:numRef>
              <c:f>'Headcount by Department'!$C$7:$C$11</c:f>
              <c:numCache>
                <c:formatCode>General</c:formatCode>
                <c:ptCount val="4"/>
                <c:pt idx="0">
                  <c:v>10</c:v>
                </c:pt>
                <c:pt idx="1">
                  <c:v>16</c:v>
                </c:pt>
                <c:pt idx="2">
                  <c:v>22</c:v>
                </c:pt>
                <c:pt idx="3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F5-4A6C-A016-E52B86ACD7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5699944"/>
        <c:axId val="735700272"/>
      </c:barChart>
      <c:catAx>
        <c:axId val="735699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5700272"/>
        <c:crosses val="autoZero"/>
        <c:auto val="1"/>
        <c:lblAlgn val="ctr"/>
        <c:lblOffset val="100"/>
        <c:noMultiLvlLbl val="0"/>
      </c:catAx>
      <c:valAx>
        <c:axId val="7357002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5699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[Headcount ^L0 Salary Analysis.xlsx]Salary Cost by Department!PivotTable5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Salary Cost</a:t>
            </a:r>
            <a:r>
              <a:rPr lang="en-IN" baseline="0"/>
              <a:t>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'Salary Cost by Department'!$C$4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513E-4C9C-8677-B4A4FD6B43CD}"/>
              </c:ext>
            </c:extLst>
          </c:dPt>
          <c:cat>
            <c:strRef>
              <c:f>'Salary Cost by Department'!$B$5:$B$9</c:f>
              <c:strCache>
                <c:ptCount val="4"/>
                <c:pt idx="0">
                  <c:v>Admin</c:v>
                </c:pt>
                <c:pt idx="1">
                  <c:v>Finance</c:v>
                </c:pt>
                <c:pt idx="2">
                  <c:v>HR</c:v>
                </c:pt>
                <c:pt idx="3">
                  <c:v>IT</c:v>
                </c:pt>
              </c:strCache>
            </c:strRef>
          </c:cat>
          <c:val>
            <c:numRef>
              <c:f>'Salary Cost by Department'!$C$5:$C$9</c:f>
              <c:numCache>
                <c:formatCode>General</c:formatCode>
                <c:ptCount val="4"/>
                <c:pt idx="0">
                  <c:v>1600000</c:v>
                </c:pt>
                <c:pt idx="1">
                  <c:v>4062000</c:v>
                </c:pt>
                <c:pt idx="2">
                  <c:v>4387000</c:v>
                </c:pt>
                <c:pt idx="3">
                  <c:v>13414000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3E-4C9C-8677-B4A4FD6B4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35693384"/>
        <c:axId val="735696008"/>
      </c:barChart>
      <c:catAx>
        <c:axId val="7356933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5696008"/>
        <c:crosses val="autoZero"/>
        <c:auto val="1"/>
        <c:lblAlgn val="ctr"/>
        <c:lblOffset val="100"/>
        <c:noMultiLvlLbl val="0"/>
      </c:catAx>
      <c:valAx>
        <c:axId val="735696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5693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[Headcount ^L0 Salary Analysis.xlsx]Total Headcount by Trend!PivotTable6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 Headcount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'Total Headcount by Trend'!$C$4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Headcount by Trend'!$B$5:$B$9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'Total Headcount by Trend'!$C$5:$C$9</c:f>
              <c:numCache>
                <c:formatCode>General</c:formatCode>
                <c:ptCount val="4"/>
                <c:pt idx="0">
                  <c:v>85</c:v>
                </c:pt>
                <c:pt idx="1">
                  <c:v>87</c:v>
                </c:pt>
                <c:pt idx="2">
                  <c:v>91</c:v>
                </c:pt>
                <c:pt idx="3">
                  <c:v>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B6-4946-83F9-78B074E0F6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7137408"/>
        <c:axId val="677136096"/>
      </c:lineChart>
      <c:catAx>
        <c:axId val="677137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136096"/>
        <c:crosses val="autoZero"/>
        <c:auto val="1"/>
        <c:lblAlgn val="ctr"/>
        <c:lblOffset val="100"/>
        <c:noMultiLvlLbl val="0"/>
      </c:catAx>
      <c:valAx>
        <c:axId val="6771360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137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[Headcount ^L0 Salary Analysis.xlsx]Headcount by Department!PivotTable4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Headcount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>
            <a:noFill/>
          </a:ln>
          <a:effectLst/>
        </c:spPr>
      </c:pivotFmt>
      <c:pivotFmt>
        <c:idx val="2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0000"/>
          </a:solidFill>
          <a:ln>
            <a:noFill/>
          </a:ln>
          <a:effectLst/>
        </c:spPr>
      </c:pivotFmt>
      <c:pivotFmt>
        <c:idx val="4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F0000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'Headcount by Department'!$C$6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1CF-40B9-97F2-57DBD914AA16}"/>
              </c:ext>
            </c:extLst>
          </c:dPt>
          <c:cat>
            <c:strRef>
              <c:f>'Headcount by Department'!$B$7:$B$11</c:f>
              <c:strCache>
                <c:ptCount val="4"/>
                <c:pt idx="0">
                  <c:v>Admin</c:v>
                </c:pt>
                <c:pt idx="1">
                  <c:v>Finance</c:v>
                </c:pt>
                <c:pt idx="2">
                  <c:v>HR</c:v>
                </c:pt>
                <c:pt idx="3">
                  <c:v>IT</c:v>
                </c:pt>
              </c:strCache>
            </c:strRef>
          </c:cat>
          <c:val>
            <c:numRef>
              <c:f>'Headcount by Department'!$C$7:$C$11</c:f>
              <c:numCache>
                <c:formatCode>General</c:formatCode>
                <c:ptCount val="4"/>
                <c:pt idx="0">
                  <c:v>10</c:v>
                </c:pt>
                <c:pt idx="1">
                  <c:v>16</c:v>
                </c:pt>
                <c:pt idx="2">
                  <c:v>22</c:v>
                </c:pt>
                <c:pt idx="3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CF-40B9-97F2-57DBD914AA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5699944"/>
        <c:axId val="735700272"/>
      </c:barChart>
      <c:catAx>
        <c:axId val="735699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5700272"/>
        <c:crosses val="autoZero"/>
        <c:auto val="1"/>
        <c:lblAlgn val="ctr"/>
        <c:lblOffset val="100"/>
        <c:noMultiLvlLbl val="0"/>
      </c:catAx>
      <c:valAx>
        <c:axId val="7357002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5699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[Headcount ^L0 Salary Analysis.xlsx]Salary Cost by Department!PivotTable5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Salary Cost</a:t>
            </a:r>
            <a:r>
              <a:rPr lang="en-IN" baseline="0"/>
              <a:t>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>
            <a:noFill/>
          </a:ln>
          <a:effectLst/>
        </c:spPr>
      </c:pivotFmt>
      <c:pivotFmt>
        <c:idx val="2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0000"/>
          </a:solidFill>
          <a:ln>
            <a:noFill/>
          </a:ln>
          <a:effectLst/>
        </c:spPr>
      </c:pivotFmt>
      <c:pivotFmt>
        <c:idx val="4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F0000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'Salary Cost by Department'!$C$4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405-46CE-AAB2-0BE1263A2510}"/>
              </c:ext>
            </c:extLst>
          </c:dPt>
          <c:cat>
            <c:strRef>
              <c:f>'Salary Cost by Department'!$B$5:$B$9</c:f>
              <c:strCache>
                <c:ptCount val="4"/>
                <c:pt idx="0">
                  <c:v>Admin</c:v>
                </c:pt>
                <c:pt idx="1">
                  <c:v>Finance</c:v>
                </c:pt>
                <c:pt idx="2">
                  <c:v>HR</c:v>
                </c:pt>
                <c:pt idx="3">
                  <c:v>IT</c:v>
                </c:pt>
              </c:strCache>
            </c:strRef>
          </c:cat>
          <c:val>
            <c:numRef>
              <c:f>'Salary Cost by Department'!$C$5:$C$9</c:f>
              <c:numCache>
                <c:formatCode>General</c:formatCode>
                <c:ptCount val="4"/>
                <c:pt idx="0">
                  <c:v>1600000</c:v>
                </c:pt>
                <c:pt idx="1">
                  <c:v>4062000</c:v>
                </c:pt>
                <c:pt idx="2">
                  <c:v>4387000</c:v>
                </c:pt>
                <c:pt idx="3">
                  <c:v>13414000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405-46CE-AAB2-0BE1263A25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35693384"/>
        <c:axId val="735696008"/>
      </c:barChart>
      <c:catAx>
        <c:axId val="7356933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5696008"/>
        <c:crosses val="autoZero"/>
        <c:auto val="1"/>
        <c:lblAlgn val="ctr"/>
        <c:lblOffset val="100"/>
        <c:noMultiLvlLbl val="0"/>
      </c:catAx>
      <c:valAx>
        <c:axId val="735696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5693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[Headcount ^L0 Salary Analysis.xlsx]Total Headcount by Trend!PivotTable6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 Headcount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'Total Headcount by Trend'!$C$4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Headcount by Trend'!$B$5:$B$9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'Total Headcount by Trend'!$C$5:$C$9</c:f>
              <c:numCache>
                <c:formatCode>General</c:formatCode>
                <c:ptCount val="4"/>
                <c:pt idx="0">
                  <c:v>85</c:v>
                </c:pt>
                <c:pt idx="1">
                  <c:v>87</c:v>
                </c:pt>
                <c:pt idx="2">
                  <c:v>91</c:v>
                </c:pt>
                <c:pt idx="3">
                  <c:v>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0D-4BCF-9190-CD7BBA8B33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7137408"/>
        <c:axId val="677136096"/>
      </c:lineChart>
      <c:catAx>
        <c:axId val="677137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136096"/>
        <c:crosses val="autoZero"/>
        <c:auto val="1"/>
        <c:lblAlgn val="ctr"/>
        <c:lblOffset val="100"/>
        <c:noMultiLvlLbl val="0"/>
      </c:catAx>
      <c:valAx>
        <c:axId val="6771360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137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167640</xdr:colOff>
      <xdr:row>2</xdr:row>
      <xdr:rowOff>106680</xdr:rowOff>
    </xdr:from>
    <xdr:to>
      <xdr:col>12</xdr:col>
      <xdr:colOff>472440</xdr:colOff>
      <xdr:row>17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264067-BBC1-4F18-B4D3-5E25463FA5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129540</xdr:colOff>
      <xdr:row>3</xdr:row>
      <xdr:rowOff>53340</xdr:rowOff>
    </xdr:from>
    <xdr:to>
      <xdr:col>12</xdr:col>
      <xdr:colOff>434340</xdr:colOff>
      <xdr:row>18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048102-04AD-4C6D-B3D4-93C626DFB6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144780</xdr:colOff>
      <xdr:row>2</xdr:row>
      <xdr:rowOff>144780</xdr:rowOff>
    </xdr:from>
    <xdr:to>
      <xdr:col>12</xdr:col>
      <xdr:colOff>449580</xdr:colOff>
      <xdr:row>17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7FED89-5C5B-43CE-B61C-33B3276303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403860</xdr:colOff>
      <xdr:row>8</xdr:row>
      <xdr:rowOff>99060</xdr:rowOff>
    </xdr:from>
    <xdr:to>
      <xdr:col>9</xdr:col>
      <xdr:colOff>60960</xdr:colOff>
      <xdr:row>22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0892DB-7F3A-4D03-8E6F-08EF730E8D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563880</xdr:colOff>
      <xdr:row>8</xdr:row>
      <xdr:rowOff>91440</xdr:rowOff>
    </xdr:from>
    <xdr:to>
      <xdr:col>15</xdr:col>
      <xdr:colOff>335280</xdr:colOff>
      <xdr:row>22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2EB0766-97C2-4B9C-9256-CA0B05FBBC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152400</xdr:colOff>
      <xdr:row>23</xdr:row>
      <xdr:rowOff>152400</xdr:rowOff>
    </xdr:from>
    <xdr:to>
      <xdr:col>13</xdr:col>
      <xdr:colOff>198120</xdr:colOff>
      <xdr:row>38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6BCCE2E-9BC8-4B8A-B141-F210A32959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061.86015601852" createdVersion="6" refreshedVersion="6" minRefreshableVersion="3" recordCount="16" xr:uid="{08BA10C0-54F3-48B7-81DB-14A519BA5050}">
  <cacheSource type="worksheet">
    <worksheetSource ref="A1:E17" sheet="Salary Data"/>
  </cacheSource>
  <cacheFields count="5">
    <cacheField name="Month" numFmtId="0">
      <sharedItems count="4">
        <s v="Jan"/>
        <s v="Feb"/>
        <s v="Mar"/>
        <s v="Apr"/>
      </sharedItems>
    </cacheField>
    <cacheField name="Department" numFmtId="0">
      <sharedItems count="4">
        <s v="HR"/>
        <s v="IT"/>
        <s v="Finance"/>
        <s v="Admin"/>
      </sharedItems>
    </cacheField>
    <cacheField name="Headcount" numFmtId="0">
      <sharedItems containsSemiMixedTypes="0" containsString="0" containsNumber="1" containsInteger="1" minValue="10" maxValue="47"/>
    </cacheField>
    <cacheField name="Average Salary" numFmtId="169">
      <sharedItems containsSemiMixedTypes="0" containsString="0" containsNumber="1" containsInteger="1" minValue="40000" maxValue="77000"/>
    </cacheField>
    <cacheField name="Montly Salary" numFmtId="169">
      <sharedItems containsSemiMixedTypes="0" containsString="0" containsNumber="1" containsInteger="1" minValue="400000" maxValue="3619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x v="0"/>
    <n v="18"/>
    <n v="55000"/>
    <n v="990000"/>
  </r>
  <r>
    <x v="0"/>
    <x v="1"/>
    <n v="42"/>
    <n v="75000"/>
    <n v="3150000"/>
  </r>
  <r>
    <x v="0"/>
    <x v="2"/>
    <n v="15"/>
    <n v="65000"/>
    <n v="975000"/>
  </r>
  <r>
    <x v="0"/>
    <x v="3"/>
    <n v="10"/>
    <n v="40000"/>
    <n v="400000"/>
  </r>
  <r>
    <x v="1"/>
    <x v="0"/>
    <n v="19"/>
    <n v="55000"/>
    <n v="1045000"/>
  </r>
  <r>
    <x v="1"/>
    <x v="1"/>
    <n v="43"/>
    <n v="75000"/>
    <n v="3225000"/>
  </r>
  <r>
    <x v="1"/>
    <x v="2"/>
    <n v="15"/>
    <n v="65000"/>
    <n v="975000"/>
  </r>
  <r>
    <x v="1"/>
    <x v="3"/>
    <n v="10"/>
    <n v="40000"/>
    <n v="400000"/>
  </r>
  <r>
    <x v="2"/>
    <x v="0"/>
    <n v="20"/>
    <n v="56000"/>
    <n v="1120000"/>
  </r>
  <r>
    <x v="2"/>
    <x v="1"/>
    <n v="45"/>
    <n v="76000"/>
    <n v="3420000"/>
  </r>
  <r>
    <x v="2"/>
    <x v="2"/>
    <n v="16"/>
    <n v="66000"/>
    <n v="1056000"/>
  </r>
  <r>
    <x v="2"/>
    <x v="3"/>
    <n v="10"/>
    <n v="40000"/>
    <n v="400000"/>
  </r>
  <r>
    <x v="3"/>
    <x v="0"/>
    <n v="22"/>
    <n v="56000"/>
    <n v="1232000"/>
  </r>
  <r>
    <x v="3"/>
    <x v="1"/>
    <n v="47"/>
    <n v="77000"/>
    <n v="3619000"/>
  </r>
  <r>
    <x v="3"/>
    <x v="2"/>
    <n v="16"/>
    <n v="66000"/>
    <n v="1056000"/>
  </r>
  <r>
    <x v="3"/>
    <x v="3"/>
    <n v="10"/>
    <n v="40000"/>
    <n v="40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91FDE8-8A76-4314-A184-DA1C59E8AD1F}" name="PivotTable4" cacheId="1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 rowHeaderCaption="Department">
  <location ref="B6:C11" firstHeaderRow="1" firstDataRow="1" firstDataCol="1" rowPageCount="1" colPageCount="1"/>
  <pivotFields count="5">
    <pivotField axis="axisPage" multipleItemSelectionAllowed="1" showAll="0">
      <items count="5">
        <item h="1" x="0"/>
        <item h="1" x="1"/>
        <item h="1" x="2"/>
        <item x="3"/>
        <item t="default"/>
      </items>
    </pivotField>
    <pivotField axis="axisRow" showAll="0">
      <items count="5">
        <item x="3"/>
        <item x="2"/>
        <item x="0"/>
        <item x="1"/>
        <item t="default"/>
      </items>
    </pivotField>
    <pivotField dataField="1" showAll="0"/>
    <pivotField numFmtId="169" showAll="0"/>
    <pivotField numFmtId="169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0" hier="-1"/>
  </pageFields>
  <dataFields count="1">
    <dataField name="Sum of Headcount" fld="2" baseField="1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DADE15-F7DD-47B1-B92A-BD7285EE2391}" name="PivotTable5" cacheId="1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 rowHeaderCaption="Department">
  <location ref="B4:C9" firstHeaderRow="1" firstDataRow="1" firstDataCol="1"/>
  <pivotFields count="5">
    <pivotField showAll="0"/>
    <pivotField axis="axisRow" showAll="0">
      <items count="5">
        <item x="3"/>
        <item x="2"/>
        <item x="0"/>
        <item x="1"/>
        <item t="default"/>
      </items>
    </pivotField>
    <pivotField showAll="0"/>
    <pivotField numFmtId="169" showAll="0"/>
    <pivotField dataField="1" numFmtId="169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Montly Salary" fld="4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2B3DE1-C161-492A-BD6B-FD944075AEF7}" name="PivotTable6" cacheId="1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 rowHeaderCaption="Month">
  <location ref="B4:C9" firstHeaderRow="1" firstDataRow="1" firstDataCol="1"/>
  <pivotFields count="5">
    <pivotField axis="axisRow" showAll="0">
      <items count="5">
        <item x="0"/>
        <item x="1"/>
        <item x="2"/>
        <item x="3"/>
        <item t="default"/>
      </items>
    </pivotField>
    <pivotField showAll="0">
      <items count="5">
        <item x="3"/>
        <item x="2"/>
        <item x="0"/>
        <item x="1"/>
        <item t="default"/>
      </items>
    </pivotField>
    <pivotField dataField="1" showAll="0"/>
    <pivotField numFmtId="169" showAll="0"/>
    <pivotField numFmtId="169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Headcount" fld="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703EE-DBA6-488E-9D0B-08F66A463885}">
  <dimension ref="A1:H17"/>
  <sheetViews>
    <sheetView workbookViewId="0">
      <pane ySplit="1" topLeftCell="A2" activePane="bottomLeft" state="frozen"/>
      <selection pane="bottomLeft" activeCell="H4" sqref="H4"/>
    </sheetView>
  </sheetViews>
  <sheetFormatPr defaultRowHeight="14.4" x14ac:dyDescent="0.3"/>
  <cols>
    <col min="1" max="1" width="6.77734375" bestFit="1" customWidth="1"/>
    <col min="2" max="2" width="11.109375" bestFit="1" customWidth="1"/>
    <col min="3" max="3" width="10.21875" bestFit="1" customWidth="1"/>
    <col min="4" max="4" width="12.5546875" style="1" bestFit="1" customWidth="1"/>
    <col min="5" max="5" width="12.6640625" style="1" bestFit="1" customWidth="1"/>
    <col min="7" max="7" width="32.21875" bestFit="1" customWidth="1"/>
    <col min="8" max="8" width="13.109375" bestFit="1" customWidth="1"/>
  </cols>
  <sheetData>
    <row r="1" spans="1:8" x14ac:dyDescent="0.3">
      <c r="A1" s="5" t="s">
        <v>0</v>
      </c>
      <c r="B1" s="5" t="s">
        <v>1</v>
      </c>
      <c r="C1" s="5" t="s">
        <v>2</v>
      </c>
      <c r="D1" s="6" t="s">
        <v>11</v>
      </c>
      <c r="E1" s="6" t="s">
        <v>12</v>
      </c>
    </row>
    <row r="2" spans="1:8" x14ac:dyDescent="0.3">
      <c r="A2" s="7" t="s">
        <v>3</v>
      </c>
      <c r="B2" s="7" t="s">
        <v>4</v>
      </c>
      <c r="C2" s="7">
        <v>18</v>
      </c>
      <c r="D2" s="8">
        <v>55000</v>
      </c>
      <c r="E2" s="9">
        <f>C2*D2</f>
        <v>990000</v>
      </c>
      <c r="G2" s="10" t="s">
        <v>16</v>
      </c>
      <c r="H2" s="10"/>
    </row>
    <row r="3" spans="1:8" x14ac:dyDescent="0.3">
      <c r="A3" s="7" t="s">
        <v>3</v>
      </c>
      <c r="B3" s="7" t="s">
        <v>5</v>
      </c>
      <c r="C3" s="7">
        <v>42</v>
      </c>
      <c r="D3" s="8">
        <v>75000</v>
      </c>
      <c r="E3" s="9">
        <f t="shared" ref="E3:E17" si="0">C3*D3</f>
        <v>3150000</v>
      </c>
      <c r="G3" s="10" t="s">
        <v>17</v>
      </c>
      <c r="H3" s="10">
        <f>SUM(C2:C17)</f>
        <v>358</v>
      </c>
    </row>
    <row r="4" spans="1:8" x14ac:dyDescent="0.3">
      <c r="A4" s="7" t="s">
        <v>3</v>
      </c>
      <c r="B4" s="7" t="s">
        <v>6</v>
      </c>
      <c r="C4" s="7">
        <v>15</v>
      </c>
      <c r="D4" s="8">
        <v>65000</v>
      </c>
      <c r="E4" s="9">
        <f t="shared" si="0"/>
        <v>975000</v>
      </c>
      <c r="G4" s="10" t="s">
        <v>18</v>
      </c>
      <c r="H4" s="11">
        <f>SUM(E2:E17)</f>
        <v>23463000</v>
      </c>
    </row>
    <row r="5" spans="1:8" x14ac:dyDescent="0.3">
      <c r="A5" s="7" t="s">
        <v>3</v>
      </c>
      <c r="B5" s="7" t="s">
        <v>7</v>
      </c>
      <c r="C5" s="7">
        <v>10</v>
      </c>
      <c r="D5" s="8">
        <v>40000</v>
      </c>
      <c r="E5" s="9">
        <f t="shared" si="0"/>
        <v>400000</v>
      </c>
      <c r="G5" s="10" t="s">
        <v>19</v>
      </c>
      <c r="H5" s="12">
        <f>H4/H3</f>
        <v>65539.106145251397</v>
      </c>
    </row>
    <row r="6" spans="1:8" x14ac:dyDescent="0.3">
      <c r="A6" s="7" t="s">
        <v>8</v>
      </c>
      <c r="B6" s="7" t="s">
        <v>4</v>
      </c>
      <c r="C6" s="7">
        <v>19</v>
      </c>
      <c r="D6" s="8">
        <v>55000</v>
      </c>
      <c r="E6" s="9">
        <f t="shared" si="0"/>
        <v>1045000</v>
      </c>
    </row>
    <row r="7" spans="1:8" x14ac:dyDescent="0.3">
      <c r="A7" s="7" t="s">
        <v>8</v>
      </c>
      <c r="B7" s="7" t="s">
        <v>5</v>
      </c>
      <c r="C7" s="7">
        <v>43</v>
      </c>
      <c r="D7" s="8">
        <v>75000</v>
      </c>
      <c r="E7" s="9">
        <f t="shared" si="0"/>
        <v>3225000</v>
      </c>
    </row>
    <row r="8" spans="1:8" x14ac:dyDescent="0.3">
      <c r="A8" s="7" t="s">
        <v>8</v>
      </c>
      <c r="B8" s="7" t="s">
        <v>6</v>
      </c>
      <c r="C8" s="7">
        <v>15</v>
      </c>
      <c r="D8" s="8">
        <v>65000</v>
      </c>
      <c r="E8" s="9">
        <f t="shared" si="0"/>
        <v>975000</v>
      </c>
    </row>
    <row r="9" spans="1:8" x14ac:dyDescent="0.3">
      <c r="A9" s="7" t="s">
        <v>8</v>
      </c>
      <c r="B9" s="7" t="s">
        <v>7</v>
      </c>
      <c r="C9" s="7">
        <v>10</v>
      </c>
      <c r="D9" s="8">
        <v>40000</v>
      </c>
      <c r="E9" s="9">
        <f t="shared" si="0"/>
        <v>400000</v>
      </c>
    </row>
    <row r="10" spans="1:8" x14ac:dyDescent="0.3">
      <c r="A10" s="7" t="s">
        <v>9</v>
      </c>
      <c r="B10" s="7" t="s">
        <v>4</v>
      </c>
      <c r="C10" s="7">
        <v>20</v>
      </c>
      <c r="D10" s="8">
        <v>56000</v>
      </c>
      <c r="E10" s="9">
        <f t="shared" si="0"/>
        <v>1120000</v>
      </c>
    </row>
    <row r="11" spans="1:8" x14ac:dyDescent="0.3">
      <c r="A11" s="7" t="s">
        <v>9</v>
      </c>
      <c r="B11" s="7" t="s">
        <v>5</v>
      </c>
      <c r="C11" s="7">
        <v>45</v>
      </c>
      <c r="D11" s="8">
        <v>76000</v>
      </c>
      <c r="E11" s="9">
        <f t="shared" si="0"/>
        <v>3420000</v>
      </c>
    </row>
    <row r="12" spans="1:8" x14ac:dyDescent="0.3">
      <c r="A12" s="7" t="s">
        <v>9</v>
      </c>
      <c r="B12" s="7" t="s">
        <v>6</v>
      </c>
      <c r="C12" s="7">
        <v>16</v>
      </c>
      <c r="D12" s="8">
        <v>66000</v>
      </c>
      <c r="E12" s="9">
        <f t="shared" si="0"/>
        <v>1056000</v>
      </c>
    </row>
    <row r="13" spans="1:8" x14ac:dyDescent="0.3">
      <c r="A13" s="7" t="s">
        <v>9</v>
      </c>
      <c r="B13" s="7" t="s">
        <v>7</v>
      </c>
      <c r="C13" s="7">
        <v>10</v>
      </c>
      <c r="D13" s="8">
        <v>40000</v>
      </c>
      <c r="E13" s="9">
        <f t="shared" si="0"/>
        <v>400000</v>
      </c>
    </row>
    <row r="14" spans="1:8" x14ac:dyDescent="0.3">
      <c r="A14" s="7" t="s">
        <v>10</v>
      </c>
      <c r="B14" s="7" t="s">
        <v>4</v>
      </c>
      <c r="C14" s="7">
        <v>22</v>
      </c>
      <c r="D14" s="8">
        <v>56000</v>
      </c>
      <c r="E14" s="9">
        <f t="shared" si="0"/>
        <v>1232000</v>
      </c>
    </row>
    <row r="15" spans="1:8" x14ac:dyDescent="0.3">
      <c r="A15" s="7" t="s">
        <v>10</v>
      </c>
      <c r="B15" s="7" t="s">
        <v>5</v>
      </c>
      <c r="C15" s="7">
        <v>47</v>
      </c>
      <c r="D15" s="8">
        <v>77000</v>
      </c>
      <c r="E15" s="9">
        <f t="shared" si="0"/>
        <v>3619000</v>
      </c>
    </row>
    <row r="16" spans="1:8" x14ac:dyDescent="0.3">
      <c r="A16" s="7" t="s">
        <v>10</v>
      </c>
      <c r="B16" s="7" t="s">
        <v>6</v>
      </c>
      <c r="C16" s="7">
        <v>16</v>
      </c>
      <c r="D16" s="8">
        <v>66000</v>
      </c>
      <c r="E16" s="9">
        <f t="shared" si="0"/>
        <v>1056000</v>
      </c>
    </row>
    <row r="17" spans="1:5" x14ac:dyDescent="0.3">
      <c r="A17" s="7" t="s">
        <v>10</v>
      </c>
      <c r="B17" s="7" t="s">
        <v>7</v>
      </c>
      <c r="C17" s="7">
        <v>10</v>
      </c>
      <c r="D17" s="8">
        <v>40000</v>
      </c>
      <c r="E17" s="9">
        <f t="shared" si="0"/>
        <v>400000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7B7FE-3831-4A5D-855A-5F15F03167A6}">
  <dimension ref="B2:N11"/>
  <sheetViews>
    <sheetView showGridLines="0" workbookViewId="0">
      <selection activeCell="N2" sqref="N2"/>
    </sheetView>
  </sheetViews>
  <sheetFormatPr defaultRowHeight="14.4" x14ac:dyDescent="0.3"/>
  <cols>
    <col min="1" max="1" width="6.109375" customWidth="1"/>
    <col min="2" max="2" width="13.33203125" bestFit="1" customWidth="1"/>
    <col min="3" max="3" width="16.77734375" bestFit="1" customWidth="1"/>
  </cols>
  <sheetData>
    <row r="2" spans="2:14" x14ac:dyDescent="0.3">
      <c r="N2" s="16" t="s">
        <v>27</v>
      </c>
    </row>
    <row r="4" spans="2:14" x14ac:dyDescent="0.3">
      <c r="B4" s="2" t="s">
        <v>0</v>
      </c>
      <c r="C4" t="s">
        <v>10</v>
      </c>
    </row>
    <row r="6" spans="2:14" x14ac:dyDescent="0.3">
      <c r="B6" s="2" t="s">
        <v>1</v>
      </c>
      <c r="C6" t="s">
        <v>14</v>
      </c>
    </row>
    <row r="7" spans="2:14" x14ac:dyDescent="0.3">
      <c r="B7" s="3" t="s">
        <v>7</v>
      </c>
      <c r="C7" s="4">
        <v>10</v>
      </c>
    </row>
    <row r="8" spans="2:14" x14ac:dyDescent="0.3">
      <c r="B8" s="3" t="s">
        <v>6</v>
      </c>
      <c r="C8" s="4">
        <v>16</v>
      </c>
    </row>
    <row r="9" spans="2:14" x14ac:dyDescent="0.3">
      <c r="B9" s="3" t="s">
        <v>4</v>
      </c>
      <c r="C9" s="4">
        <v>22</v>
      </c>
    </row>
    <row r="10" spans="2:14" x14ac:dyDescent="0.3">
      <c r="B10" s="3" t="s">
        <v>5</v>
      </c>
      <c r="C10" s="4">
        <v>47</v>
      </c>
    </row>
    <row r="11" spans="2:14" x14ac:dyDescent="0.3">
      <c r="B11" s="3" t="s">
        <v>13</v>
      </c>
      <c r="C11" s="4">
        <v>95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991A3-AB86-488D-A5AA-A9AD7F46E8F9}">
  <dimension ref="B2:M9"/>
  <sheetViews>
    <sheetView showGridLines="0" workbookViewId="0">
      <selection activeCell="G28" sqref="G28:G29"/>
    </sheetView>
  </sheetViews>
  <sheetFormatPr defaultRowHeight="14.4" x14ac:dyDescent="0.3"/>
  <cols>
    <col min="1" max="1" width="6.6640625" customWidth="1"/>
    <col min="2" max="2" width="13.33203125" bestFit="1" customWidth="1"/>
    <col min="3" max="3" width="19.33203125" bestFit="1" customWidth="1"/>
  </cols>
  <sheetData>
    <row r="2" spans="2:13" x14ac:dyDescent="0.3">
      <c r="M2" s="16" t="s">
        <v>27</v>
      </c>
    </row>
    <row r="4" spans="2:13" x14ac:dyDescent="0.3">
      <c r="B4" s="2" t="s">
        <v>1</v>
      </c>
      <c r="C4" t="s">
        <v>15</v>
      </c>
    </row>
    <row r="5" spans="2:13" x14ac:dyDescent="0.3">
      <c r="B5" s="3" t="s">
        <v>7</v>
      </c>
      <c r="C5" s="4">
        <v>1600000</v>
      </c>
    </row>
    <row r="6" spans="2:13" x14ac:dyDescent="0.3">
      <c r="B6" s="3" t="s">
        <v>6</v>
      </c>
      <c r="C6" s="4">
        <v>4062000</v>
      </c>
    </row>
    <row r="7" spans="2:13" x14ac:dyDescent="0.3">
      <c r="B7" s="3" t="s">
        <v>4</v>
      </c>
      <c r="C7" s="4">
        <v>4387000</v>
      </c>
    </row>
    <row r="8" spans="2:13" x14ac:dyDescent="0.3">
      <c r="B8" s="3" t="s">
        <v>5</v>
      </c>
      <c r="C8" s="4">
        <v>13414000</v>
      </c>
    </row>
    <row r="9" spans="2:13" x14ac:dyDescent="0.3">
      <c r="B9" s="3" t="s">
        <v>13</v>
      </c>
      <c r="C9" s="4">
        <v>23463000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BC4E4-3991-400D-B553-7BB6766C3C83}">
  <dimension ref="B2:N9"/>
  <sheetViews>
    <sheetView showGridLines="0" workbookViewId="0">
      <selection activeCell="N2" sqref="N2"/>
    </sheetView>
  </sheetViews>
  <sheetFormatPr defaultRowHeight="14.4" x14ac:dyDescent="0.3"/>
  <cols>
    <col min="1" max="1" width="4.44140625" customWidth="1"/>
    <col min="2" max="2" width="10.77734375" bestFit="1" customWidth="1"/>
    <col min="3" max="3" width="16.77734375" bestFit="1" customWidth="1"/>
  </cols>
  <sheetData>
    <row r="2" spans="2:14" x14ac:dyDescent="0.3">
      <c r="N2" s="16" t="s">
        <v>27</v>
      </c>
    </row>
    <row r="4" spans="2:14" x14ac:dyDescent="0.3">
      <c r="B4" s="2" t="s">
        <v>0</v>
      </c>
      <c r="C4" t="s">
        <v>14</v>
      </c>
    </row>
    <row r="5" spans="2:14" x14ac:dyDescent="0.3">
      <c r="B5" s="3" t="s">
        <v>3</v>
      </c>
      <c r="C5" s="4">
        <v>85</v>
      </c>
    </row>
    <row r="6" spans="2:14" x14ac:dyDescent="0.3">
      <c r="B6" s="3" t="s">
        <v>8</v>
      </c>
      <c r="C6" s="4">
        <v>87</v>
      </c>
    </row>
    <row r="7" spans="2:14" x14ac:dyDescent="0.3">
      <c r="B7" s="3" t="s">
        <v>9</v>
      </c>
      <c r="C7" s="4">
        <v>91</v>
      </c>
    </row>
    <row r="8" spans="2:14" x14ac:dyDescent="0.3">
      <c r="B8" s="3" t="s">
        <v>10</v>
      </c>
      <c r="C8" s="4">
        <v>95</v>
      </c>
    </row>
    <row r="9" spans="2:14" x14ac:dyDescent="0.3">
      <c r="B9" s="3" t="s">
        <v>13</v>
      </c>
      <c r="C9" s="4">
        <v>358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74981-73BD-414A-8901-FA95FABAF230}">
  <dimension ref="B3:P46"/>
  <sheetViews>
    <sheetView showGridLines="0" tabSelected="1" workbookViewId="0">
      <selection activeCell="S22" sqref="S22"/>
    </sheetView>
  </sheetViews>
  <sheetFormatPr defaultRowHeight="14.4" x14ac:dyDescent="0.3"/>
  <cols>
    <col min="5" max="5" width="1.6640625" customWidth="1"/>
    <col min="9" max="9" width="1.21875" customWidth="1"/>
    <col min="11" max="11" width="8.88671875" customWidth="1"/>
    <col min="12" max="12" width="19.33203125" customWidth="1"/>
  </cols>
  <sheetData>
    <row r="3" spans="2:16" x14ac:dyDescent="0.3">
      <c r="B3" s="13" t="s">
        <v>20</v>
      </c>
      <c r="C3" s="14"/>
      <c r="D3" s="14"/>
      <c r="F3" s="13" t="s">
        <v>21</v>
      </c>
      <c r="G3" s="14"/>
      <c r="H3" s="14"/>
      <c r="J3" s="13" t="s">
        <v>22</v>
      </c>
      <c r="K3" s="14"/>
      <c r="L3" s="14"/>
      <c r="P3" s="16" t="s">
        <v>27</v>
      </c>
    </row>
    <row r="4" spans="2:16" x14ac:dyDescent="0.3">
      <c r="B4" s="14"/>
      <c r="C4" s="14"/>
      <c r="D4" s="14"/>
      <c r="F4" s="14"/>
      <c r="G4" s="14"/>
      <c r="H4" s="14"/>
      <c r="J4" s="14"/>
      <c r="K4" s="14"/>
      <c r="L4" s="14"/>
    </row>
    <row r="5" spans="2:16" x14ac:dyDescent="0.3">
      <c r="B5" s="14"/>
      <c r="C5" s="14"/>
      <c r="D5" s="14"/>
      <c r="F5" s="14"/>
      <c r="G5" s="14"/>
      <c r="H5" s="14"/>
      <c r="J5" s="14"/>
      <c r="K5" s="14"/>
      <c r="L5" s="14"/>
    </row>
    <row r="6" spans="2:16" x14ac:dyDescent="0.3">
      <c r="B6" s="14"/>
      <c r="C6" s="14"/>
      <c r="D6" s="14"/>
      <c r="F6" s="14"/>
      <c r="G6" s="14"/>
      <c r="H6" s="14"/>
      <c r="J6" s="14"/>
      <c r="K6" s="14"/>
      <c r="L6" s="14"/>
    </row>
    <row r="43" spans="2:3" ht="18" x14ac:dyDescent="0.35">
      <c r="B43" s="15" t="s">
        <v>23</v>
      </c>
      <c r="C43" s="15"/>
    </row>
    <row r="44" spans="2:3" ht="18" x14ac:dyDescent="0.35">
      <c r="B44" s="15" t="s">
        <v>24</v>
      </c>
      <c r="C44" s="15"/>
    </row>
    <row r="45" spans="2:3" ht="18" x14ac:dyDescent="0.35">
      <c r="B45" s="15" t="s">
        <v>25</v>
      </c>
      <c r="C45" s="15"/>
    </row>
    <row r="46" spans="2:3" ht="18" x14ac:dyDescent="0.35">
      <c r="B46" s="15" t="s">
        <v>26</v>
      </c>
      <c r="C46" s="15"/>
    </row>
  </sheetData>
  <mergeCells count="3">
    <mergeCell ref="B3:D6"/>
    <mergeCell ref="F3:H6"/>
    <mergeCell ref="J3:L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Salary Data</vt:lpstr>
      <vt:lpstr>Headcount by Department</vt:lpstr>
      <vt:lpstr>Salary Cost by Department</vt:lpstr>
      <vt:lpstr>Total Headcount by Trend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Akash R</cp:lastModifiedBy>
  <dcterms:created xsi:type="dcterms:W3CDTF">2026-02-08T14:43:57Z</dcterms:created>
  <dcterms:modified xsi:type="dcterms:W3CDTF">2026-02-08T15:44:39Z</dcterms:modified>
</cp:coreProperties>
</file>